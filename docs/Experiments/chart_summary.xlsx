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ael\Downloads\"/>
    </mc:Choice>
  </mc:AlternateContent>
  <bookViews>
    <workbookView xWindow="0" yWindow="0" windowWidth="20490" windowHeight="8790" activeTab="2"/>
  </bookViews>
  <sheets>
    <sheet name="summary" sheetId="1" r:id="rId1"/>
    <sheet name="request_detection_charts" sheetId="2" r:id="rId2"/>
    <sheet name="duration_charts" sheetId="3" r:id="rId3"/>
  </sheets>
  <definedNames>
    <definedName name="_xlcn.WorksheetConnection_summaryA1T311" hidden="1">summary!$A$1:$T$31</definedName>
  </definedNames>
  <calcPr calcId="0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ummary!$A$1:$T$3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ummary!$A$1:$T$3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ummaryA1T311"/>
        </x15:connection>
      </ext>
    </extLst>
  </connection>
</connections>
</file>

<file path=xl/sharedStrings.xml><?xml version="1.0" encoding="utf-8"?>
<sst xmlns="http://schemas.openxmlformats.org/spreadsheetml/2006/main" count="284" uniqueCount="103">
  <si>
    <t>run_id</t>
  </si>
  <si>
    <t>condition</t>
  </si>
  <si>
    <t>mode</t>
  </si>
  <si>
    <t>repetition</t>
  </si>
  <si>
    <t>job_id</t>
  </si>
  <si>
    <t>image</t>
  </si>
  <si>
    <t>latency_setting</t>
  </si>
  <si>
    <t>baseline_version</t>
  </si>
  <si>
    <t>terminal_version</t>
  </si>
  <si>
    <t>requests_started</t>
  </si>
  <si>
    <t>initial_200</t>
  </si>
  <si>
    <t>newer_200</t>
  </si>
  <si>
    <t>unchanged_200</t>
  </si>
  <si>
    <t>no_change_204</t>
  </si>
  <si>
    <t>retrieval_errors</t>
  </si>
  <si>
    <t>cancellations</t>
  </si>
  <si>
    <t>distinct_new_versions_seen</t>
  </si>
  <si>
    <t>processing_ms</t>
  </si>
  <si>
    <t>detection_ms</t>
  </si>
  <si>
    <t>notes</t>
  </si>
  <si>
    <t>A</t>
  </si>
  <si>
    <t>short</t>
  </si>
  <si>
    <t>96c3796a-e790-4ab3-ba47-cf1e2d44c189</t>
  </si>
  <si>
    <t>image (2).jpeg</t>
  </si>
  <si>
    <t>0ms</t>
  </si>
  <si>
    <t>1,2,5</t>
  </si>
  <si>
    <t>30s quiet delay short polling</t>
  </si>
  <si>
    <t>long</t>
  </si>
  <si>
    <t>a9423cfd-f516-4709-a01a-04fa916e08f4</t>
  </si>
  <si>
    <t>1,2,3,4,5</t>
  </si>
  <si>
    <t>30s quiet delay long polling with 1x204 timeout</t>
  </si>
  <si>
    <t>efe6bf23-e789-4f15-a50a-35f7d14edd1e</t>
  </si>
  <si>
    <t>15bfce08-63a6-4b7c-b047-afd22825de17</t>
  </si>
  <si>
    <t>091e1a81-0af8-461a-8e44-bd9c522b8ec3</t>
  </si>
  <si>
    <t>25c4b5bf-dc57-4597-b788-c8517c85161d</t>
  </si>
  <si>
    <t>B</t>
  </si>
  <si>
    <t>00b44c19-8189-4360-bb30-eea6c66942ea</t>
  </si>
  <si>
    <t>1,5</t>
  </si>
  <si>
    <t>Short poll completed before 1s timer fired, skipped v2-v4</t>
  </si>
  <si>
    <t>f60ec005-cd19-460d-b262-757211e8ac83</t>
  </si>
  <si>
    <t>Long poll caught every intermediate variant milestone</t>
  </si>
  <si>
    <t>f02a56d4-c319-4a0c-bce6-2f85158c0481</t>
  </si>
  <si>
    <t>d231d2df-66d6-405c-b3ee-a58b2cfe5669</t>
  </si>
  <si>
    <t>5e27a3ef-32b5-4d5f-b45b-1f437a166268</t>
  </si>
  <si>
    <t>81d9460c-3f80-4c5a-a3e5-42386d3fbec2</t>
  </si>
  <si>
    <t>C1</t>
  </si>
  <si>
    <t>f251f094-8fd7-499a-8b48-8606a9c11e8c</t>
  </si>
  <si>
    <t>none</t>
  </si>
  <si>
    <t>1,2,3,4,5,6,7,10</t>
  </si>
  <si>
    <t>10s simulation with 2s interval; half of 1s short polls return unchanged v1-v7</t>
  </si>
  <si>
    <t>2d10ec2a-8a70-4307-b47c-cb434c24a7f5</t>
  </si>
  <si>
    <t>1,2,3,4,5,6,7,8,9,10</t>
  </si>
  <si>
    <t>10s simulation with 2s interval; zero unchanged responses; every poll wakes on update</t>
  </si>
  <si>
    <t>69a2cac2-1e98-4412-b111-3b3bd0b4b95a</t>
  </si>
  <si>
    <t>10s simulation with 2s interval; redundant short polls on 2s step boundaries</t>
  </si>
  <si>
    <t>31500eb3-3f36-4433-9e07-a7a8decf1294</t>
  </si>
  <si>
    <t>10s simulation with 2s interval; held request resolves immediately on each 2s step</t>
  </si>
  <si>
    <t>ad78d18f-0a0f-46b4-a20f-d76a92d5407d</t>
  </si>
  <si>
    <t>10s simulation with 2s interval; terminal polling lag of 948 ms</t>
  </si>
  <si>
    <t>8e09538b-b1c4-4a98-aa89-1440e49f1c40</t>
  </si>
  <si>
    <t>1,2,3,4,5,6,7,8,10</t>
  </si>
  <si>
    <t>10s simulation with 2s interval; rapid v8-v9 variant commits coalesced into terminal v10 poll</t>
  </si>
  <si>
    <t>C2</t>
  </si>
  <si>
    <t>3ccbd9d0-7df4-4dc8-a84b-019b1702e03a</t>
  </si>
  <si>
    <t>1,6,11,16,21,26,31,36,41,46,52,55</t>
  </si>
  <si>
    <t>10s simulation with 200ms interval; 1s short polling captures version jumps across simulation steps</t>
  </si>
  <si>
    <t>8c87657b-9523-400d-868d-c8c9156c4258</t>
  </si>
  <si>
    <t>1,2,3,4,5,6,7,8,9,10,11,12,13,14,15,16,17,18,19,20,21,22,23,24,25,26,27,28,29,30,31,32,33,34,35,36,37,38,39,40,41,42,43,44,45,46,47,48,49,50,51,52,53,54,55</t>
  </si>
  <si>
    <t>10s simulation with 200ms interval; long poll wakes on every 200ms step update</t>
  </si>
  <si>
    <t>01968b47-1a5a-41b1-b693-66971c7ce9f3</t>
  </si>
  <si>
    <t>10s simulation with 200ms interval; 1s short polling misses intermediate 200ms state changes</t>
  </si>
  <si>
    <t>2099c8b7-665d-46ad-8bd9-845f3d3a7d1a</t>
  </si>
  <si>
    <t>10s simulation with 200ms interval; zero unchanged responses; immediate wake per 200ms step</t>
  </si>
  <si>
    <t>f9b693da-2558-46d5-807c-21e1b122c5ba</t>
  </si>
  <si>
    <t>10s simulation with 200ms interval; terminal short poll completes right at v55 finish</t>
  </si>
  <si>
    <t>9f7c1b2b-526d-4271-b6bb-21843cb839c7</t>
  </si>
  <si>
    <t>10s simulation with 200ms interval; final variant commits coalesced into terminal v55 long poll</t>
  </si>
  <si>
    <t>C3</t>
  </si>
  <si>
    <t>4965ae10-5ef1-45c8-b0ed-28cc1bfe7f21</t>
  </si>
  <si>
    <t>100ms</t>
  </si>
  <si>
    <t>1,2,6,14,20,26,32,38,44,50,55</t>
  </si>
  <si>
    <t>200ms interval short polling under 100ms latency; samples ~10/55 versions</t>
  </si>
  <si>
    <t>65efef6b-f1dd-41ed-b64b-a3fc27cea85e</t>
  </si>
  <si>
    <t>1,2,3..55</t>
  </si>
  <si>
    <t>200ms interval long polling under 100ms latency; severe request thrashing (50 reqs)</t>
  </si>
  <si>
    <t>25b4ec09-0b18-4a54-8aa1-f40bd5fa323e</t>
  </si>
  <si>
    <t>27339696-7aba-4f69-9792-1f638f11cad5</t>
  </si>
  <si>
    <t>200ms interval long polling under 100ms latency; severe request thrashing (49 reqs)</t>
  </si>
  <si>
    <t>ee08e86d-3e6b-47ca-9acb-c0710ecfba6b</t>
  </si>
  <si>
    <t>decf9d13-922a-4747-bae6-5d996496be8c</t>
  </si>
  <si>
    <t>Row Labels</t>
  </si>
  <si>
    <t>Grand Total</t>
  </si>
  <si>
    <t>Average of requests_started</t>
  </si>
  <si>
    <t>Sum of detection_ms</t>
  </si>
  <si>
    <t>Condition</t>
  </si>
  <si>
    <t>Short Polling Requests</t>
  </si>
  <si>
    <t>Long Polling Requests</t>
  </si>
  <si>
    <t>A (Quiet Job)</t>
  </si>
  <si>
    <t>B (Real Progress)</t>
  </si>
  <si>
    <t>C1 (Slow Updates)</t>
  </si>
  <si>
    <t>C2 (Fast Updates)</t>
  </si>
  <si>
    <t>Updates</t>
  </si>
  <si>
    <t>Duration (in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</si>
</sst>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[chart_summary.xlsx]request_detection_charts!PivotTable1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Requests Comparison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request_detection_charts!$B$1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request_detection_charts!$A$2:$A$17</c:f>
              <c:multiLvlStrCache>
                <c:ptCount val="10"/>
                <c:lvl>
                  <c:pt idx="0">
                    <c:v>long</c:v>
                  </c:pt>
                  <c:pt idx="1">
                    <c:v>short</c:v>
                  </c:pt>
                  <c:pt idx="2">
                    <c:v>long</c:v>
                  </c:pt>
                  <c:pt idx="3">
                    <c:v>short</c:v>
                  </c:pt>
                  <c:pt idx="4">
                    <c:v>long</c:v>
                  </c:pt>
                  <c:pt idx="5">
                    <c:v>short</c:v>
                  </c:pt>
                  <c:pt idx="6">
                    <c:v>long</c:v>
                  </c:pt>
                  <c:pt idx="7">
                    <c:v>short</c:v>
                  </c:pt>
                  <c:pt idx="8">
                    <c:v>long</c:v>
                  </c:pt>
                  <c:pt idx="9">
                    <c:v>short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C1</c:v>
                  </c:pt>
                  <c:pt idx="6">
                    <c:v>C2</c:v>
                  </c:pt>
                  <c:pt idx="8">
                    <c:v>C3</c:v>
                  </c:pt>
                </c:lvl>
              </c:multiLvlStrCache>
            </c:multiLvlStrRef>
          </c:cat>
          <c:val>
            <c:numRef>
              <c:f>request_detection_charts!$B$2:$B$17</c:f>
              <c:numCache>
                <c:formatCode>General</c:formatCode>
                <c:ptCount val="10"/>
                <c:pt idx="0">
                  <c:v>5.666666666666667</c:v>
                </c:pt>
                <c:pt idx="1">
                  <c:v>31</c:v>
                </c:pt>
                <c:pt idx="2">
                  <c:v>5</c:v>
                </c:pt>
                <c:pt idx="3">
                  <c:v>2</c:v>
                </c:pt>
                <c:pt idx="4">
                  <c:v>9.6666666666666661</c:v>
                </c:pt>
                <c:pt idx="5">
                  <c:v>12</c:v>
                </c:pt>
                <c:pt idx="6">
                  <c:v>55</c:v>
                </c:pt>
                <c:pt idx="7">
                  <c:v>12</c:v>
                </c:pt>
                <c:pt idx="8">
                  <c:v>49.333333333333336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9E-4801-B04E-FF2B8F6A2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941999"/>
        <c:axId val="2010951151"/>
      </c:barChart>
      <c:catAx>
        <c:axId val="201094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Condition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951151"/>
        <c:crosses val="autoZero"/>
        <c:auto val="1"/>
        <c:lblAlgn val="ctr"/>
        <c:lblOffset val="100"/>
        <c:noMultiLvlLbl val="0"/>
      </c:catAx>
      <c:valAx>
        <c:axId val="20109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NUmber of Requests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94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[chart_summary.xlsx]request_detection_charts!PivotTable2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Detection</a:t>
            </a:r>
            <a:r>
              <a:rPr lang="en-US" baseline="0"/>
              <a:t> Delay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302537182852142"/>
          <c:y val="0.26328484981044037"/>
          <c:w val="0.76112270341207344"/>
          <c:h val="0.46043708078156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request_detection_charts!$B$20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request_detection_charts!$A$21:$A$36</c:f>
              <c:multiLvlStrCache>
                <c:ptCount val="10"/>
                <c:lvl>
                  <c:pt idx="0">
                    <c:v>long</c:v>
                  </c:pt>
                  <c:pt idx="1">
                    <c:v>short</c:v>
                  </c:pt>
                  <c:pt idx="2">
                    <c:v>long</c:v>
                  </c:pt>
                  <c:pt idx="3">
                    <c:v>short</c:v>
                  </c:pt>
                  <c:pt idx="4">
                    <c:v>long</c:v>
                  </c:pt>
                  <c:pt idx="5">
                    <c:v>short</c:v>
                  </c:pt>
                  <c:pt idx="6">
                    <c:v>long</c:v>
                  </c:pt>
                  <c:pt idx="7">
                    <c:v>short</c:v>
                  </c:pt>
                  <c:pt idx="8">
                    <c:v>long</c:v>
                  </c:pt>
                  <c:pt idx="9">
                    <c:v>short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C1</c:v>
                  </c:pt>
                  <c:pt idx="6">
                    <c:v>C2</c:v>
                  </c:pt>
                  <c:pt idx="8">
                    <c:v>C3</c:v>
                  </c:pt>
                </c:lvl>
              </c:multiLvlStrCache>
            </c:multiLvlStrRef>
          </c:cat>
          <c:val>
            <c:numRef>
              <c:f>request_detection_charts!$B$21:$B$36</c:f>
              <c:numCache>
                <c:formatCode>General</c:formatCode>
                <c:ptCount val="10"/>
                <c:pt idx="0">
                  <c:v>44</c:v>
                </c:pt>
                <c:pt idx="1">
                  <c:v>1350</c:v>
                </c:pt>
                <c:pt idx="2">
                  <c:v>41</c:v>
                </c:pt>
                <c:pt idx="3">
                  <c:v>2613</c:v>
                </c:pt>
                <c:pt idx="4">
                  <c:v>44</c:v>
                </c:pt>
                <c:pt idx="5">
                  <c:v>1961</c:v>
                </c:pt>
                <c:pt idx="6">
                  <c:v>430</c:v>
                </c:pt>
                <c:pt idx="7">
                  <c:v>1054</c:v>
                </c:pt>
                <c:pt idx="8">
                  <c:v>411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D-4D46-A489-FA0E197B8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929071"/>
        <c:axId val="1495926575"/>
      </c:barChart>
      <c:catAx>
        <c:axId val="149592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Condition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926575"/>
        <c:crosses val="autoZero"/>
        <c:auto val="1"/>
        <c:lblAlgn val="ctr"/>
        <c:lblOffset val="100"/>
        <c:noMultiLvlLbl val="0"/>
      </c:catAx>
      <c:valAx>
        <c:axId val="149592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Delay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92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Z"/>
              <a:t>Duration</a:t>
            </a:r>
            <a:r>
              <a:rPr lang="en-BZ" baseline="0"/>
              <a:t> and Requests Comparison</a:t>
            </a:r>
            <a:endParaRPr lang="en-B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duration_charts!$D$1</c:f>
              <c:strCache>
                <c:ptCount val="1"/>
                <c:pt idx="0">
                  <c:v>Short Polling Requests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duration_charts!$B$2:$B$5</c:f>
              <c:numCache>
                <c:formatCode>General</c:formatCode>
                <c:ptCount val="4"/>
                <c:pt idx="0">
                  <c:v>0.2</c:v>
                </c:pt>
                <c:pt idx="1">
                  <c:v>10</c:v>
                </c:pt>
                <c:pt idx="2">
                  <c:v>10</c:v>
                </c:pt>
                <c:pt idx="3">
                  <c:v>30</c:v>
                </c:pt>
              </c:numCache>
            </c:numRef>
          </c:xVal>
          <c:yVal>
            <c:numRef>
              <c:f>duration_charts!$D$2:$D$5</c:f>
              <c:numCache>
                <c:formatCode>General</c:formatCode>
                <c:ptCount val="4"/>
                <c:pt idx="0">
                  <c:v>2</c:v>
                </c:pt>
                <c:pt idx="1">
                  <c:v>12</c:v>
                </c:pt>
                <c:pt idx="2">
                  <c:v>12</c:v>
                </c:pt>
                <c:pt idx="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A-417C-98A2-A17A4EFC10A0}"/>
            </c:ext>
          </c:extLst>
        </c:ser>
        <c:ser>
          <c:idx val="1"/>
          <c:order val="1"/>
          <c:tx>
            <c:strRef>
              <c:f>duration_charts!$E$1</c:f>
              <c:strCache>
                <c:ptCount val="1"/>
                <c:pt idx="0">
                  <c:v>Long Polling Requests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duration_charts!$B$2:$B$5</c:f>
              <c:numCache>
                <c:formatCode>General</c:formatCode>
                <c:ptCount val="4"/>
                <c:pt idx="0">
                  <c:v>0.2</c:v>
                </c:pt>
                <c:pt idx="1">
                  <c:v>10</c:v>
                </c:pt>
                <c:pt idx="2">
                  <c:v>10</c:v>
                </c:pt>
                <c:pt idx="3">
                  <c:v>30</c:v>
                </c:pt>
              </c:numCache>
            </c:numRef>
          </c:xVal>
          <c:yVal>
            <c:numRef>
              <c:f>duration_charts!$E$2:$E$5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55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5A-417C-98A2-A17A4EFC1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404672"/>
        <c:axId val="808410080"/>
      </c:scatterChart>
      <c:valAx>
        <c:axId val="80840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Duration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10080"/>
        <c:crosses val="autoZero"/>
        <c:crossBetween val="midCat"/>
      </c:valAx>
      <c:valAx>
        <c:axId val="8084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NUmber</a:t>
                </a:r>
                <a:r>
                  <a:rPr lang="en-BZ" baseline="0"/>
                  <a:t> of Requests</a:t>
                </a:r>
                <a:endParaRPr lang="en-B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0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Z"/>
              <a:t>Updates and Requests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duration_charts!$K$1</c:f>
              <c:strCache>
                <c:ptCount val="1"/>
                <c:pt idx="0">
                  <c:v>Short Polling Requests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duration_charts!$J$2:$J$5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50</c:v>
                </c:pt>
              </c:numCache>
            </c:numRef>
          </c:xVal>
          <c:yVal>
            <c:numRef>
              <c:f>duration_charts!$K$2:$K$5</c:f>
              <c:numCache>
                <c:formatCode>General</c:formatCode>
                <c:ptCount val="4"/>
                <c:pt idx="0">
                  <c:v>31</c:v>
                </c:pt>
                <c:pt idx="1">
                  <c:v>2</c:v>
                </c:pt>
                <c:pt idx="2">
                  <c:v>12</c:v>
                </c:pt>
                <c:pt idx="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8-4C5B-9DD6-DDAB33526295}"/>
            </c:ext>
          </c:extLst>
        </c:ser>
        <c:ser>
          <c:idx val="1"/>
          <c:order val="1"/>
          <c:tx>
            <c:strRef>
              <c:f>duration_charts!$L$1</c:f>
              <c:strCache>
                <c:ptCount val="1"/>
                <c:pt idx="0">
                  <c:v>Long Polling Requests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duration_charts!$J$2:$J$5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50</c:v>
                </c:pt>
              </c:numCache>
            </c:numRef>
          </c:xVal>
          <c:yVal>
            <c:numRef>
              <c:f>duration_charts!$L$2:$L$5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38-4C5B-9DD6-DDAB33526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98432"/>
        <c:axId val="808399264"/>
      </c:scatterChart>
      <c:valAx>
        <c:axId val="80839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Number of Updates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9264"/>
        <c:crosses val="autoZero"/>
        <c:crossBetween val="midCat"/>
      </c:valAx>
      <c:valAx>
        <c:axId val="8083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BZ"/>
                  <a:t>Number</a:t>
                </a:r>
                <a:r>
                  <a:rPr lang="en-BZ" baseline="0"/>
                  <a:t> of Requests</a:t>
                </a:r>
                <a:endParaRPr lang="en-B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2</xdr:row>
      <xdr:rowOff>19050</xdr:rowOff>
    </xdr:from>
    <xdr:to>
      <xdr:col>10</xdr:col>
      <xdr:colOff>337704</xdr:colOff>
      <xdr:row>16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487156</xdr:colOff>
      <xdr:row>17</xdr:row>
      <xdr:rowOff>133349</xdr:rowOff>
    </xdr:from>
    <xdr:to>
      <xdr:col>11</xdr:col>
      <xdr:colOff>34637</xdr:colOff>
      <xdr:row>32</xdr:row>
      <xdr:rowOff>164522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5</xdr:row>
      <xdr:rowOff>76200</xdr:rowOff>
    </xdr:from>
    <xdr:to>
      <xdr:col>2</xdr:col>
      <xdr:colOff>1076325</xdr:colOff>
      <xdr:row>19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1314450</xdr:colOff>
      <xdr:row>5</xdr:row>
      <xdr:rowOff>85725</xdr:rowOff>
    </xdr:from>
    <xdr:to>
      <xdr:col>6</xdr:col>
      <xdr:colOff>238125</xdr:colOff>
      <xdr:row>19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sael Tobar" refreshedDate="46321.817315740744" backgroundQuery="1" createdVersion="6" refreshedVersion="6" minRefreshableVersion="3" recordCount="0" supportSubquery="1" supportAdvancedDrill="1">
  <cacheSource type="external" connectionId="1"/>
  <cacheFields count="3">
    <cacheField name="[Range].[condition].[condition]" caption="condition" numFmtId="0" hierarchy="1" level="1">
      <sharedItems count="5">
        <s v="A"/>
        <s v="B"/>
        <s v="C1"/>
        <s v="C2"/>
        <s v="C3"/>
      </sharedItems>
    </cacheField>
    <cacheField name="[Range].[mode].[mode]" caption="mode" numFmtId="0" hierarchy="2" level="1">
      <sharedItems count="2">
        <s v="long"/>
        <s v="short"/>
      </sharedItems>
    </cacheField>
    <cacheField name="[Measures].[Average of requests_started]" caption="Average of requests_started" numFmtId="0" hierarchy="27" level="32767"/>
  </cacheFields>
  <cacheHierarchies count="29">
    <cacheHierarchy uniqueName="[Range].[run_id]" caption="run_id" attribute="1" defaultMemberUniqueName="[Range].[run_id].[All]" allUniqueName="[Range].[run_id].[All]" dimensionUniqueName="[Range]" displayFolder="" count="0" memberValueDatatype="20" unbalanced="0"/>
    <cacheHierarchy uniqueName="[Range].[condition]" caption="condition" attribute="1" defaultMemberUniqueName="[Range].[condition].[All]" allUniqueName="[Range].[condi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de]" caption="mode" attribute="1" defaultMemberUniqueName="[Range].[mode].[All]" allUniqueName="[Range].[mo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petition]" caption="repetition" attribute="1" defaultMemberUniqueName="[Range].[repetition].[All]" allUniqueName="[Range].[repetition].[All]" dimensionUniqueName="[Range]" displayFolder="" count="0" memberValueDatatype="20" unbalanced="0"/>
    <cacheHierarchy uniqueName="[Range].[job_id]" caption="job_id" attribute="1" defaultMemberUniqueName="[Range].[job_id].[All]" allUniqueName="[Range].[job_id].[All]" dimensionUniqueName="[Range]" displayFolder="" count="0" memberValueDatatype="130" unbalanced="0"/>
    <cacheHierarchy uniqueName="[Range].[image]" caption="image" attribute="1" defaultMemberUniqueName="[Range].[image].[All]" allUniqueName="[Range].[image].[All]" dimensionUniqueName="[Range]" displayFolder="" count="0" memberValueDatatype="130" unbalanced="0"/>
    <cacheHierarchy uniqueName="[Range].[latency_setting]" caption="latency_setting" attribute="1" defaultMemberUniqueName="[Range].[latency_setting].[All]" allUniqueName="[Range].[latency_setting].[All]" dimensionUniqueName="[Range]" displayFolder="" count="0" memberValueDatatype="130" unbalanced="0"/>
    <cacheHierarchy uniqueName="[Range].[baseline_version]" caption="baseline_version" attribute="1" defaultMemberUniqueName="[Range].[baseline_version].[All]" allUniqueName="[Range].[baseline_version].[All]" dimensionUniqueName="[Range]" displayFolder="" count="0" memberValueDatatype="20" unbalanced="0"/>
    <cacheHierarchy uniqueName="[Range].[terminal_version]" caption="terminal_version" attribute="1" defaultMemberUniqueName="[Range].[terminal_version].[All]" allUniqueName="[Range].[terminal_version].[All]" dimensionUniqueName="[Range]" displayFolder="" count="0" memberValueDatatype="20" unbalanced="0"/>
    <cacheHierarchy uniqueName="[Range].[requests_started]" caption="requests_started" attribute="1" defaultMemberUniqueName="[Range].[requests_started].[All]" allUniqueName="[Range].[requests_started].[All]" dimensionUniqueName="[Range]" displayFolder="" count="0" memberValueDatatype="20" unbalanced="0"/>
    <cacheHierarchy uniqueName="[Range].[initial_200]" caption="initial_200" attribute="1" defaultMemberUniqueName="[Range].[initial_200].[All]" allUniqueName="[Range].[initial_200].[All]" dimensionUniqueName="[Range]" displayFolder="" count="0" memberValueDatatype="20" unbalanced="0"/>
    <cacheHierarchy uniqueName="[Range].[newer_200]" caption="newer_200" attribute="1" defaultMemberUniqueName="[Range].[newer_200].[All]" allUniqueName="[Range].[newer_200].[All]" dimensionUniqueName="[Range]" displayFolder="" count="0" memberValueDatatype="20" unbalanced="0"/>
    <cacheHierarchy uniqueName="[Range].[unchanged_200]" caption="unchanged_200" attribute="1" defaultMemberUniqueName="[Range].[unchanged_200].[All]" allUniqueName="[Range].[unchanged_200].[All]" dimensionUniqueName="[Range]" displayFolder="" count="0" memberValueDatatype="20" unbalanced="0"/>
    <cacheHierarchy uniqueName="[Range].[no_change_204]" caption="no_change_204" attribute="1" defaultMemberUniqueName="[Range].[no_change_204].[All]" allUniqueName="[Range].[no_change_204].[All]" dimensionUniqueName="[Range]" displayFolder="" count="0" memberValueDatatype="20" unbalanced="0"/>
    <cacheHierarchy uniqueName="[Range].[retrieval_errors]" caption="retrieval_errors" attribute="1" defaultMemberUniqueName="[Range].[retrieval_errors].[All]" allUniqueName="[Range].[retrieval_errors].[All]" dimensionUniqueName="[Range]" displayFolder="" count="0" memberValueDatatype="20" unbalanced="0"/>
    <cacheHierarchy uniqueName="[Range].[cancellations]" caption="cancellations" attribute="1" defaultMemberUniqueName="[Range].[cancellations].[All]" allUniqueName="[Range].[cancellations].[All]" dimensionUniqueName="[Range]" displayFolder="" count="0" memberValueDatatype="20" unbalanced="0"/>
    <cacheHierarchy uniqueName="[Range].[distinct_new_versions_seen]" caption="distinct_new_versions_seen" attribute="1" defaultMemberUniqueName="[Range].[distinct_new_versions_seen].[All]" allUniqueName="[Range].[distinct_new_versions_seen].[All]" dimensionUniqueName="[Range]" displayFolder="" count="0" memberValueDatatype="130" unbalanced="0"/>
    <cacheHierarchy uniqueName="[Range].[processing_ms]" caption="processing_ms" attribute="1" defaultMemberUniqueName="[Range].[processing_ms].[All]" allUniqueName="[Range].[processing_ms].[All]" dimensionUniqueName="[Range]" displayFolder="" count="0" memberValueDatatype="20" unbalanced="0"/>
    <cacheHierarchy uniqueName="[Range].[detection_ms]" caption="detection_ms" attribute="1" defaultMemberUniqueName="[Range].[detection_ms].[All]" allUniqueName="[Range].[detection_ms].[All]" dimensionUniqueName="[Range]" displayFolder="" count="0" memberValueDatatype="20" unbalanced="0"/>
    <cacheHierarchy uniqueName="[Range].[notes]" caption="notes" attribute="1" defaultMemberUniqueName="[Range].[notes].[All]" allUniqueName="[Range].[note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ondition]" caption="Count of condi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ode]" caption="Count of mod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mode]" caption="Distinct Count of mod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petition]" caption="Sum of repeti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quests_started]" caption="Sum of requests_started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quests_started]" caption="Average of requests_sta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ection_ms]" caption="Sum of detection_m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sael Tobar" refreshedDate="46321.905708449071" backgroundQuery="1" createdVersion="6" refreshedVersion="6" minRefreshableVersion="3" recordCount="0" supportSubquery="1" supportAdvancedDrill="1">
  <cacheSource type="external" connectionId="1"/>
  <cacheFields count="3">
    <cacheField name="[Range].[condition].[condition]" caption="condition" numFmtId="0" hierarchy="1" level="1">
      <sharedItems count="5">
        <s v="A"/>
        <s v="B"/>
        <s v="C1"/>
        <s v="C2"/>
        <s v="C3"/>
      </sharedItems>
    </cacheField>
    <cacheField name="[Range].[mode].[mode]" caption="mode" numFmtId="0" hierarchy="2" level="1">
      <sharedItems count="2">
        <s v="long"/>
        <s v="short"/>
      </sharedItems>
    </cacheField>
    <cacheField name="[Measures].[Sum of detection_ms]" caption="Sum of detection_ms" numFmtId="0" hierarchy="28" level="32767"/>
  </cacheFields>
  <cacheHierarchies count="29">
    <cacheHierarchy uniqueName="[Range].[run_id]" caption="run_id" attribute="1" defaultMemberUniqueName="[Range].[run_id].[All]" allUniqueName="[Range].[run_id].[All]" dimensionUniqueName="[Range]" displayFolder="" count="0" memberValueDatatype="20" unbalanced="0"/>
    <cacheHierarchy uniqueName="[Range].[condition]" caption="condition" attribute="1" defaultMemberUniqueName="[Range].[condition].[All]" allUniqueName="[Range].[condi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de]" caption="mode" attribute="1" defaultMemberUniqueName="[Range].[mode].[All]" allUniqueName="[Range].[mo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petition]" caption="repetition" attribute="1" defaultMemberUniqueName="[Range].[repetition].[All]" allUniqueName="[Range].[repetition].[All]" dimensionUniqueName="[Range]" displayFolder="" count="0" memberValueDatatype="20" unbalanced="0"/>
    <cacheHierarchy uniqueName="[Range].[job_id]" caption="job_id" attribute="1" defaultMemberUniqueName="[Range].[job_id].[All]" allUniqueName="[Range].[job_id].[All]" dimensionUniqueName="[Range]" displayFolder="" count="0" memberValueDatatype="130" unbalanced="0"/>
    <cacheHierarchy uniqueName="[Range].[image]" caption="image" attribute="1" defaultMemberUniqueName="[Range].[image].[All]" allUniqueName="[Range].[image].[All]" dimensionUniqueName="[Range]" displayFolder="" count="0" memberValueDatatype="130" unbalanced="0"/>
    <cacheHierarchy uniqueName="[Range].[latency_setting]" caption="latency_setting" attribute="1" defaultMemberUniqueName="[Range].[latency_setting].[All]" allUniqueName="[Range].[latency_setting].[All]" dimensionUniqueName="[Range]" displayFolder="" count="0" memberValueDatatype="130" unbalanced="0"/>
    <cacheHierarchy uniqueName="[Range].[baseline_version]" caption="baseline_version" attribute="1" defaultMemberUniqueName="[Range].[baseline_version].[All]" allUniqueName="[Range].[baseline_version].[All]" dimensionUniqueName="[Range]" displayFolder="" count="0" memberValueDatatype="20" unbalanced="0"/>
    <cacheHierarchy uniqueName="[Range].[terminal_version]" caption="terminal_version" attribute="1" defaultMemberUniqueName="[Range].[terminal_version].[All]" allUniqueName="[Range].[terminal_version].[All]" dimensionUniqueName="[Range]" displayFolder="" count="0" memberValueDatatype="20" unbalanced="0"/>
    <cacheHierarchy uniqueName="[Range].[requests_started]" caption="requests_started" attribute="1" defaultMemberUniqueName="[Range].[requests_started].[All]" allUniqueName="[Range].[requests_started].[All]" dimensionUniqueName="[Range]" displayFolder="" count="0" memberValueDatatype="20" unbalanced="0"/>
    <cacheHierarchy uniqueName="[Range].[initial_200]" caption="initial_200" attribute="1" defaultMemberUniqueName="[Range].[initial_200].[All]" allUniqueName="[Range].[initial_200].[All]" dimensionUniqueName="[Range]" displayFolder="" count="0" memberValueDatatype="20" unbalanced="0"/>
    <cacheHierarchy uniqueName="[Range].[newer_200]" caption="newer_200" attribute="1" defaultMemberUniqueName="[Range].[newer_200].[All]" allUniqueName="[Range].[newer_200].[All]" dimensionUniqueName="[Range]" displayFolder="" count="0" memberValueDatatype="20" unbalanced="0"/>
    <cacheHierarchy uniqueName="[Range].[unchanged_200]" caption="unchanged_200" attribute="1" defaultMemberUniqueName="[Range].[unchanged_200].[All]" allUniqueName="[Range].[unchanged_200].[All]" dimensionUniqueName="[Range]" displayFolder="" count="0" memberValueDatatype="20" unbalanced="0"/>
    <cacheHierarchy uniqueName="[Range].[no_change_204]" caption="no_change_204" attribute="1" defaultMemberUniqueName="[Range].[no_change_204].[All]" allUniqueName="[Range].[no_change_204].[All]" dimensionUniqueName="[Range]" displayFolder="" count="0" memberValueDatatype="20" unbalanced="0"/>
    <cacheHierarchy uniqueName="[Range].[retrieval_errors]" caption="retrieval_errors" attribute="1" defaultMemberUniqueName="[Range].[retrieval_errors].[All]" allUniqueName="[Range].[retrieval_errors].[All]" dimensionUniqueName="[Range]" displayFolder="" count="0" memberValueDatatype="20" unbalanced="0"/>
    <cacheHierarchy uniqueName="[Range].[cancellations]" caption="cancellations" attribute="1" defaultMemberUniqueName="[Range].[cancellations].[All]" allUniqueName="[Range].[cancellations].[All]" dimensionUniqueName="[Range]" displayFolder="" count="0" memberValueDatatype="20" unbalanced="0"/>
    <cacheHierarchy uniqueName="[Range].[distinct_new_versions_seen]" caption="distinct_new_versions_seen" attribute="1" defaultMemberUniqueName="[Range].[distinct_new_versions_seen].[All]" allUniqueName="[Range].[distinct_new_versions_seen].[All]" dimensionUniqueName="[Range]" displayFolder="" count="0" memberValueDatatype="130" unbalanced="0"/>
    <cacheHierarchy uniqueName="[Range].[processing_ms]" caption="processing_ms" attribute="1" defaultMemberUniqueName="[Range].[processing_ms].[All]" allUniqueName="[Range].[processing_ms].[All]" dimensionUniqueName="[Range]" displayFolder="" count="0" memberValueDatatype="20" unbalanced="0"/>
    <cacheHierarchy uniqueName="[Range].[detection_ms]" caption="detection_ms" attribute="1" defaultMemberUniqueName="[Range].[detection_ms].[All]" allUniqueName="[Range].[detection_ms].[All]" dimensionUniqueName="[Range]" displayFolder="" count="0" memberValueDatatype="20" unbalanced="0"/>
    <cacheHierarchy uniqueName="[Range].[notes]" caption="notes" attribute="1" defaultMemberUniqueName="[Range].[notes].[All]" allUniqueName="[Range].[note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ondition]" caption="Count of condi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ode]" caption="Count of mod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mode]" caption="Distinct Count of mod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petition]" caption="Sum of repeti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quests_started]" caption="Sum of requests_started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quests_started]" caption="Average of requests_started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ection_ms]" caption="Sum of detection_m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7" firstHeaderRow="1" firstDataRow="1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Average of requests_started" fld="2" subtotal="average" baseField="0" baseItem="1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mode"/>
    <pivotHierarchy dragToData="1" caption="Distinct Count of mode"/>
    <pivotHierarchy dragToData="1"/>
    <pivotHierarchy dragToData="1"/>
    <pivotHierarchy dragToData="1" caption="Average of requests_started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mmary!$A$1:$T$31">
        <x15:activeTabTopLevelEntity name="[Ran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0:B36" firstHeaderRow="1" firstDataRow="1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Sum of detection_m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mmary!$A$1:$T$31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opLeftCell="B16" workbookViewId="0">
      <selection activeCell="B33" sqref="B3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>
        <v>1</v>
      </c>
      <c r="E2" t="s">
        <v>22</v>
      </c>
      <c r="F2" t="s">
        <v>23</v>
      </c>
      <c r="G2" t="s">
        <v>24</v>
      </c>
      <c r="H2">
        <v>1</v>
      </c>
      <c r="I2">
        <v>5</v>
      </c>
      <c r="J2">
        <v>31</v>
      </c>
      <c r="K2">
        <v>1</v>
      </c>
      <c r="L2">
        <v>2</v>
      </c>
      <c r="M2">
        <v>28</v>
      </c>
      <c r="N2">
        <v>0</v>
      </c>
      <c r="O2">
        <v>0</v>
      </c>
      <c r="P2">
        <v>0</v>
      </c>
      <c r="Q2" t="s">
        <v>25</v>
      </c>
      <c r="R2">
        <v>30126</v>
      </c>
      <c r="S2">
        <v>450</v>
      </c>
      <c r="T2" t="s">
        <v>26</v>
      </c>
    </row>
    <row r="3" spans="1:20" x14ac:dyDescent="0.25">
      <c r="A3">
        <v>2</v>
      </c>
      <c r="B3" t="s">
        <v>20</v>
      </c>
      <c r="C3" t="s">
        <v>27</v>
      </c>
      <c r="D3">
        <v>1</v>
      </c>
      <c r="E3" t="s">
        <v>28</v>
      </c>
      <c r="F3" t="s">
        <v>23</v>
      </c>
      <c r="G3" t="s">
        <v>24</v>
      </c>
      <c r="H3">
        <v>1</v>
      </c>
      <c r="I3">
        <v>5</v>
      </c>
      <c r="J3">
        <v>5</v>
      </c>
      <c r="K3">
        <v>1</v>
      </c>
      <c r="L3">
        <v>3</v>
      </c>
      <c r="M3">
        <v>0</v>
      </c>
      <c r="N3">
        <v>1</v>
      </c>
      <c r="O3">
        <v>0</v>
      </c>
      <c r="P3">
        <v>0</v>
      </c>
      <c r="Q3" t="s">
        <v>29</v>
      </c>
      <c r="R3">
        <v>30214</v>
      </c>
      <c r="S3">
        <v>14</v>
      </c>
      <c r="T3" t="s">
        <v>30</v>
      </c>
    </row>
    <row r="4" spans="1:20" x14ac:dyDescent="0.25">
      <c r="A4">
        <v>3</v>
      </c>
      <c r="B4" t="s">
        <v>20</v>
      </c>
      <c r="C4" t="s">
        <v>21</v>
      </c>
      <c r="D4">
        <v>2</v>
      </c>
      <c r="E4" t="s">
        <v>31</v>
      </c>
      <c r="F4" t="s">
        <v>23</v>
      </c>
      <c r="G4" t="s">
        <v>24</v>
      </c>
      <c r="H4">
        <v>1</v>
      </c>
      <c r="I4">
        <v>5</v>
      </c>
      <c r="J4">
        <v>31</v>
      </c>
      <c r="K4">
        <v>1</v>
      </c>
      <c r="L4">
        <v>2</v>
      </c>
      <c r="M4">
        <v>28</v>
      </c>
      <c r="N4">
        <v>0</v>
      </c>
      <c r="O4">
        <v>0</v>
      </c>
      <c r="P4">
        <v>0</v>
      </c>
      <c r="Q4" t="s">
        <v>25</v>
      </c>
      <c r="R4">
        <v>30124</v>
      </c>
      <c r="S4">
        <v>420</v>
      </c>
      <c r="T4" t="s">
        <v>26</v>
      </c>
    </row>
    <row r="5" spans="1:20" x14ac:dyDescent="0.25">
      <c r="A5">
        <v>4</v>
      </c>
      <c r="B5" t="s">
        <v>20</v>
      </c>
      <c r="C5" t="s">
        <v>27</v>
      </c>
      <c r="D5">
        <v>2</v>
      </c>
      <c r="E5" t="s">
        <v>32</v>
      </c>
      <c r="F5" t="s">
        <v>23</v>
      </c>
      <c r="G5" t="s">
        <v>24</v>
      </c>
      <c r="H5">
        <v>1</v>
      </c>
      <c r="I5">
        <v>5</v>
      </c>
      <c r="J5">
        <v>6</v>
      </c>
      <c r="K5">
        <v>1</v>
      </c>
      <c r="L5">
        <v>3</v>
      </c>
      <c r="M5">
        <v>0</v>
      </c>
      <c r="N5">
        <v>1</v>
      </c>
      <c r="O5">
        <v>0</v>
      </c>
      <c r="P5">
        <v>0</v>
      </c>
      <c r="Q5" t="s">
        <v>29</v>
      </c>
      <c r="R5">
        <v>30160</v>
      </c>
      <c r="S5">
        <v>18</v>
      </c>
      <c r="T5" t="s">
        <v>30</v>
      </c>
    </row>
    <row r="6" spans="1:20" x14ac:dyDescent="0.25">
      <c r="A6">
        <v>5</v>
      </c>
      <c r="B6" t="s">
        <v>20</v>
      </c>
      <c r="C6" t="s">
        <v>21</v>
      </c>
      <c r="D6">
        <v>3</v>
      </c>
      <c r="E6" t="s">
        <v>33</v>
      </c>
      <c r="F6" t="s">
        <v>23</v>
      </c>
      <c r="G6" t="s">
        <v>24</v>
      </c>
      <c r="H6">
        <v>1</v>
      </c>
      <c r="I6">
        <v>5</v>
      </c>
      <c r="J6">
        <v>31</v>
      </c>
      <c r="K6">
        <v>1</v>
      </c>
      <c r="L6">
        <v>2</v>
      </c>
      <c r="M6">
        <v>28</v>
      </c>
      <c r="N6">
        <v>0</v>
      </c>
      <c r="O6">
        <v>0</v>
      </c>
      <c r="P6">
        <v>0</v>
      </c>
      <c r="Q6" t="s">
        <v>25</v>
      </c>
      <c r="R6">
        <v>30113</v>
      </c>
      <c r="S6">
        <v>480</v>
      </c>
      <c r="T6" t="s">
        <v>26</v>
      </c>
    </row>
    <row r="7" spans="1:20" x14ac:dyDescent="0.25">
      <c r="A7">
        <v>6</v>
      </c>
      <c r="B7" t="s">
        <v>20</v>
      </c>
      <c r="C7" t="s">
        <v>27</v>
      </c>
      <c r="D7">
        <v>3</v>
      </c>
      <c r="E7" t="s">
        <v>34</v>
      </c>
      <c r="F7" t="s">
        <v>23</v>
      </c>
      <c r="G7" t="s">
        <v>24</v>
      </c>
      <c r="H7">
        <v>1</v>
      </c>
      <c r="I7">
        <v>5</v>
      </c>
      <c r="J7">
        <v>6</v>
      </c>
      <c r="K7">
        <v>1</v>
      </c>
      <c r="L7">
        <v>3</v>
      </c>
      <c r="M7">
        <v>0</v>
      </c>
      <c r="N7">
        <v>1</v>
      </c>
      <c r="O7">
        <v>0</v>
      </c>
      <c r="P7">
        <v>0</v>
      </c>
      <c r="Q7" t="s">
        <v>29</v>
      </c>
      <c r="R7">
        <v>30194</v>
      </c>
      <c r="S7">
        <v>12</v>
      </c>
      <c r="T7" t="s">
        <v>30</v>
      </c>
    </row>
    <row r="8" spans="1:20" x14ac:dyDescent="0.25">
      <c r="A8">
        <v>7</v>
      </c>
      <c r="B8" t="s">
        <v>35</v>
      </c>
      <c r="C8" t="s">
        <v>21</v>
      </c>
      <c r="D8">
        <v>1</v>
      </c>
      <c r="E8" t="s">
        <v>36</v>
      </c>
      <c r="F8" t="s">
        <v>23</v>
      </c>
      <c r="G8" t="s">
        <v>24</v>
      </c>
      <c r="H8">
        <v>1</v>
      </c>
      <c r="I8">
        <v>5</v>
      </c>
      <c r="J8">
        <v>2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 t="s">
        <v>37</v>
      </c>
      <c r="R8">
        <v>116</v>
      </c>
      <c r="S8">
        <v>884</v>
      </c>
      <c r="T8" t="s">
        <v>38</v>
      </c>
    </row>
    <row r="9" spans="1:20" x14ac:dyDescent="0.25">
      <c r="A9">
        <v>8</v>
      </c>
      <c r="B9" t="s">
        <v>35</v>
      </c>
      <c r="C9" t="s">
        <v>27</v>
      </c>
      <c r="D9">
        <v>1</v>
      </c>
      <c r="E9" t="s">
        <v>39</v>
      </c>
      <c r="F9" t="s">
        <v>23</v>
      </c>
      <c r="G9" t="s">
        <v>24</v>
      </c>
      <c r="H9">
        <v>1</v>
      </c>
      <c r="I9">
        <v>5</v>
      </c>
      <c r="J9">
        <v>5</v>
      </c>
      <c r="K9">
        <v>1</v>
      </c>
      <c r="L9">
        <v>4</v>
      </c>
      <c r="M9">
        <v>0</v>
      </c>
      <c r="N9">
        <v>0</v>
      </c>
      <c r="O9">
        <v>0</v>
      </c>
      <c r="P9">
        <v>0</v>
      </c>
      <c r="Q9" t="s">
        <v>29</v>
      </c>
      <c r="R9">
        <v>161</v>
      </c>
      <c r="S9">
        <v>15</v>
      </c>
      <c r="T9" t="s">
        <v>40</v>
      </c>
    </row>
    <row r="10" spans="1:20" x14ac:dyDescent="0.25">
      <c r="A10">
        <v>9</v>
      </c>
      <c r="B10" t="s">
        <v>35</v>
      </c>
      <c r="C10" t="s">
        <v>21</v>
      </c>
      <c r="D10">
        <v>2</v>
      </c>
      <c r="E10" t="s">
        <v>41</v>
      </c>
      <c r="F10" t="s">
        <v>23</v>
      </c>
      <c r="G10" t="s">
        <v>24</v>
      </c>
      <c r="H10">
        <v>1</v>
      </c>
      <c r="I10">
        <v>5</v>
      </c>
      <c r="J10">
        <v>2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 t="s">
        <v>37</v>
      </c>
      <c r="R10">
        <v>154</v>
      </c>
      <c r="S10">
        <v>846</v>
      </c>
      <c r="T10" t="s">
        <v>38</v>
      </c>
    </row>
    <row r="11" spans="1:20" x14ac:dyDescent="0.25">
      <c r="A11">
        <v>10</v>
      </c>
      <c r="B11" t="s">
        <v>35</v>
      </c>
      <c r="C11" t="s">
        <v>27</v>
      </c>
      <c r="D11">
        <v>2</v>
      </c>
      <c r="E11" t="s">
        <v>42</v>
      </c>
      <c r="F11" t="s">
        <v>23</v>
      </c>
      <c r="G11" t="s">
        <v>24</v>
      </c>
      <c r="H11">
        <v>1</v>
      </c>
      <c r="I11">
        <v>5</v>
      </c>
      <c r="J11">
        <v>5</v>
      </c>
      <c r="K11">
        <v>1</v>
      </c>
      <c r="L11">
        <v>4</v>
      </c>
      <c r="M11">
        <v>0</v>
      </c>
      <c r="N11">
        <v>0</v>
      </c>
      <c r="O11">
        <v>0</v>
      </c>
      <c r="P11">
        <v>0</v>
      </c>
      <c r="Q11" t="s">
        <v>29</v>
      </c>
      <c r="R11">
        <v>185</v>
      </c>
      <c r="S11">
        <v>12</v>
      </c>
      <c r="T11" t="s">
        <v>40</v>
      </c>
    </row>
    <row r="12" spans="1:20" x14ac:dyDescent="0.25">
      <c r="A12">
        <v>11</v>
      </c>
      <c r="B12" t="s">
        <v>35</v>
      </c>
      <c r="C12" t="s">
        <v>21</v>
      </c>
      <c r="D12">
        <v>3</v>
      </c>
      <c r="E12" t="s">
        <v>43</v>
      </c>
      <c r="F12" t="s">
        <v>23</v>
      </c>
      <c r="G12" t="s">
        <v>24</v>
      </c>
      <c r="H12">
        <v>1</v>
      </c>
      <c r="I12">
        <v>5</v>
      </c>
      <c r="J12">
        <v>2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 t="s">
        <v>37</v>
      </c>
      <c r="R12">
        <v>117</v>
      </c>
      <c r="S12">
        <v>883</v>
      </c>
      <c r="T12" t="s">
        <v>38</v>
      </c>
    </row>
    <row r="13" spans="1:20" x14ac:dyDescent="0.25">
      <c r="A13">
        <v>12</v>
      </c>
      <c r="B13" t="s">
        <v>35</v>
      </c>
      <c r="C13" t="s">
        <v>27</v>
      </c>
      <c r="D13">
        <v>3</v>
      </c>
      <c r="E13" t="s">
        <v>44</v>
      </c>
      <c r="F13" t="s">
        <v>23</v>
      </c>
      <c r="G13" t="s">
        <v>24</v>
      </c>
      <c r="H13">
        <v>1</v>
      </c>
      <c r="I13">
        <v>5</v>
      </c>
      <c r="J13">
        <v>5</v>
      </c>
      <c r="K13">
        <v>1</v>
      </c>
      <c r="L13">
        <v>4</v>
      </c>
      <c r="M13">
        <v>0</v>
      </c>
      <c r="N13">
        <v>0</v>
      </c>
      <c r="O13">
        <v>0</v>
      </c>
      <c r="P13">
        <v>0</v>
      </c>
      <c r="Q13" t="s">
        <v>29</v>
      </c>
      <c r="R13">
        <v>157</v>
      </c>
      <c r="S13">
        <v>14</v>
      </c>
      <c r="T13" t="s">
        <v>40</v>
      </c>
    </row>
    <row r="14" spans="1:20" x14ac:dyDescent="0.25">
      <c r="A14">
        <v>13</v>
      </c>
      <c r="B14" t="s">
        <v>45</v>
      </c>
      <c r="C14" t="s">
        <v>21</v>
      </c>
      <c r="D14">
        <v>1</v>
      </c>
      <c r="E14" t="s">
        <v>46</v>
      </c>
      <c r="F14" t="s">
        <v>23</v>
      </c>
      <c r="G14" t="s">
        <v>47</v>
      </c>
      <c r="H14">
        <v>1</v>
      </c>
      <c r="I14">
        <v>10</v>
      </c>
      <c r="J14">
        <v>12</v>
      </c>
      <c r="K14">
        <v>1</v>
      </c>
      <c r="L14">
        <v>6</v>
      </c>
      <c r="M14">
        <v>5</v>
      </c>
      <c r="N14">
        <v>0</v>
      </c>
      <c r="O14">
        <v>0</v>
      </c>
      <c r="P14">
        <v>0</v>
      </c>
      <c r="Q14" t="s">
        <v>48</v>
      </c>
      <c r="R14">
        <v>10274</v>
      </c>
      <c r="S14">
        <v>807</v>
      </c>
      <c r="T14" t="s">
        <v>49</v>
      </c>
    </row>
    <row r="15" spans="1:20" x14ac:dyDescent="0.25">
      <c r="A15">
        <v>14</v>
      </c>
      <c r="B15" t="s">
        <v>45</v>
      </c>
      <c r="C15" t="s">
        <v>27</v>
      </c>
      <c r="D15">
        <v>1</v>
      </c>
      <c r="E15" t="s">
        <v>50</v>
      </c>
      <c r="F15" t="s">
        <v>23</v>
      </c>
      <c r="G15" t="s">
        <v>47</v>
      </c>
      <c r="H15">
        <v>1</v>
      </c>
      <c r="I15">
        <v>10</v>
      </c>
      <c r="J15">
        <v>10</v>
      </c>
      <c r="K15">
        <v>1</v>
      </c>
      <c r="L15">
        <v>9</v>
      </c>
      <c r="M15">
        <v>0</v>
      </c>
      <c r="N15">
        <v>0</v>
      </c>
      <c r="O15">
        <v>0</v>
      </c>
      <c r="P15">
        <v>0</v>
      </c>
      <c r="Q15" t="s">
        <v>51</v>
      </c>
      <c r="R15">
        <v>10188</v>
      </c>
      <c r="S15">
        <v>14</v>
      </c>
      <c r="T15" t="s">
        <v>52</v>
      </c>
    </row>
    <row r="16" spans="1:20" x14ac:dyDescent="0.25">
      <c r="A16">
        <v>15</v>
      </c>
      <c r="B16" t="s">
        <v>45</v>
      </c>
      <c r="C16" t="s">
        <v>21</v>
      </c>
      <c r="D16">
        <v>2</v>
      </c>
      <c r="E16" t="s">
        <v>53</v>
      </c>
      <c r="F16" t="s">
        <v>23</v>
      </c>
      <c r="G16" t="s">
        <v>47</v>
      </c>
      <c r="H16">
        <v>1</v>
      </c>
      <c r="I16">
        <v>10</v>
      </c>
      <c r="J16">
        <v>12</v>
      </c>
      <c r="K16">
        <v>1</v>
      </c>
      <c r="L16">
        <v>6</v>
      </c>
      <c r="M16">
        <v>5</v>
      </c>
      <c r="N16">
        <v>0</v>
      </c>
      <c r="O16">
        <v>0</v>
      </c>
      <c r="P16">
        <v>0</v>
      </c>
      <c r="Q16" t="s">
        <v>48</v>
      </c>
      <c r="R16">
        <v>10137</v>
      </c>
      <c r="S16">
        <v>206</v>
      </c>
      <c r="T16" t="s">
        <v>54</v>
      </c>
    </row>
    <row r="17" spans="1:20" x14ac:dyDescent="0.25">
      <c r="A17">
        <v>16</v>
      </c>
      <c r="B17" t="s">
        <v>45</v>
      </c>
      <c r="C17" t="s">
        <v>27</v>
      </c>
      <c r="D17">
        <v>2</v>
      </c>
      <c r="E17" t="s">
        <v>55</v>
      </c>
      <c r="F17" t="s">
        <v>23</v>
      </c>
      <c r="G17" t="s">
        <v>47</v>
      </c>
      <c r="H17">
        <v>1</v>
      </c>
      <c r="I17">
        <v>10</v>
      </c>
      <c r="J17">
        <v>10</v>
      </c>
      <c r="K17">
        <v>1</v>
      </c>
      <c r="L17">
        <v>9</v>
      </c>
      <c r="M17">
        <v>0</v>
      </c>
      <c r="N17">
        <v>0</v>
      </c>
      <c r="O17">
        <v>0</v>
      </c>
      <c r="P17">
        <v>0</v>
      </c>
      <c r="Q17" t="s">
        <v>51</v>
      </c>
      <c r="R17">
        <v>10229</v>
      </c>
      <c r="S17">
        <v>18</v>
      </c>
      <c r="T17" t="s">
        <v>56</v>
      </c>
    </row>
    <row r="18" spans="1:20" x14ac:dyDescent="0.25">
      <c r="A18">
        <v>17</v>
      </c>
      <c r="B18" t="s">
        <v>45</v>
      </c>
      <c r="C18" t="s">
        <v>21</v>
      </c>
      <c r="D18">
        <v>3</v>
      </c>
      <c r="E18" t="s">
        <v>57</v>
      </c>
      <c r="F18" t="s">
        <v>23</v>
      </c>
      <c r="G18" t="s">
        <v>47</v>
      </c>
      <c r="H18">
        <v>1</v>
      </c>
      <c r="I18">
        <v>10</v>
      </c>
      <c r="J18">
        <v>12</v>
      </c>
      <c r="K18">
        <v>1</v>
      </c>
      <c r="L18">
        <v>6</v>
      </c>
      <c r="M18">
        <v>5</v>
      </c>
      <c r="N18">
        <v>0</v>
      </c>
      <c r="O18">
        <v>0</v>
      </c>
      <c r="P18">
        <v>0</v>
      </c>
      <c r="Q18" t="s">
        <v>48</v>
      </c>
      <c r="R18">
        <v>10148</v>
      </c>
      <c r="S18">
        <v>948</v>
      </c>
      <c r="T18" t="s">
        <v>58</v>
      </c>
    </row>
    <row r="19" spans="1:20" x14ac:dyDescent="0.25">
      <c r="A19">
        <v>18</v>
      </c>
      <c r="B19" t="s">
        <v>45</v>
      </c>
      <c r="C19" t="s">
        <v>27</v>
      </c>
      <c r="D19">
        <v>3</v>
      </c>
      <c r="E19" s="1" t="s">
        <v>59</v>
      </c>
      <c r="F19" t="s">
        <v>23</v>
      </c>
      <c r="G19" t="s">
        <v>47</v>
      </c>
      <c r="H19">
        <v>1</v>
      </c>
      <c r="I19">
        <v>10</v>
      </c>
      <c r="J19">
        <v>9</v>
      </c>
      <c r="K19">
        <v>1</v>
      </c>
      <c r="L19">
        <v>8</v>
      </c>
      <c r="M19">
        <v>0</v>
      </c>
      <c r="N19">
        <v>0</v>
      </c>
      <c r="O19">
        <v>0</v>
      </c>
      <c r="P19">
        <v>0</v>
      </c>
      <c r="Q19" t="s">
        <v>60</v>
      </c>
      <c r="R19">
        <v>10192</v>
      </c>
      <c r="S19">
        <v>12</v>
      </c>
      <c r="T19" t="s">
        <v>61</v>
      </c>
    </row>
    <row r="20" spans="1:20" x14ac:dyDescent="0.25">
      <c r="A20">
        <v>19</v>
      </c>
      <c r="B20" t="s">
        <v>62</v>
      </c>
      <c r="C20" t="s">
        <v>21</v>
      </c>
      <c r="D20">
        <v>1</v>
      </c>
      <c r="E20" t="s">
        <v>63</v>
      </c>
      <c r="F20" t="s">
        <v>23</v>
      </c>
      <c r="G20" t="s">
        <v>47</v>
      </c>
      <c r="H20">
        <v>1</v>
      </c>
      <c r="I20">
        <v>55</v>
      </c>
      <c r="J20">
        <v>12</v>
      </c>
      <c r="K20">
        <v>1</v>
      </c>
      <c r="L20">
        <v>11</v>
      </c>
      <c r="M20">
        <v>0</v>
      </c>
      <c r="N20">
        <v>0</v>
      </c>
      <c r="O20">
        <v>0</v>
      </c>
      <c r="P20">
        <v>0</v>
      </c>
      <c r="Q20" t="s">
        <v>64</v>
      </c>
      <c r="R20">
        <v>10143</v>
      </c>
      <c r="S20">
        <v>271</v>
      </c>
      <c r="T20" t="s">
        <v>65</v>
      </c>
    </row>
    <row r="21" spans="1:20" x14ac:dyDescent="0.25">
      <c r="A21">
        <v>20</v>
      </c>
      <c r="B21" t="s">
        <v>62</v>
      </c>
      <c r="C21" t="s">
        <v>27</v>
      </c>
      <c r="D21">
        <v>1</v>
      </c>
      <c r="E21" t="s">
        <v>66</v>
      </c>
      <c r="F21" t="s">
        <v>23</v>
      </c>
      <c r="G21" t="s">
        <v>47</v>
      </c>
      <c r="H21">
        <v>1</v>
      </c>
      <c r="I21">
        <v>55</v>
      </c>
      <c r="J21">
        <v>55</v>
      </c>
      <c r="K21">
        <v>1</v>
      </c>
      <c r="L21">
        <v>54</v>
      </c>
      <c r="M21">
        <v>0</v>
      </c>
      <c r="N21">
        <v>0</v>
      </c>
      <c r="O21">
        <v>0</v>
      </c>
      <c r="P21">
        <v>0</v>
      </c>
      <c r="Q21" t="s">
        <v>67</v>
      </c>
      <c r="R21">
        <v>10168</v>
      </c>
      <c r="S21">
        <v>241</v>
      </c>
      <c r="T21" t="s">
        <v>68</v>
      </c>
    </row>
    <row r="22" spans="1:20" x14ac:dyDescent="0.25">
      <c r="A22">
        <v>21</v>
      </c>
      <c r="B22" t="s">
        <v>62</v>
      </c>
      <c r="C22" t="s">
        <v>21</v>
      </c>
      <c r="D22">
        <v>2</v>
      </c>
      <c r="E22" t="s">
        <v>69</v>
      </c>
      <c r="F22" t="s">
        <v>23</v>
      </c>
      <c r="G22" t="s">
        <v>47</v>
      </c>
      <c r="H22">
        <v>1</v>
      </c>
      <c r="I22">
        <v>55</v>
      </c>
      <c r="J22">
        <v>12</v>
      </c>
      <c r="K22">
        <v>1</v>
      </c>
      <c r="L22">
        <v>11</v>
      </c>
      <c r="M22">
        <v>0</v>
      </c>
      <c r="N22">
        <v>0</v>
      </c>
      <c r="O22">
        <v>0</v>
      </c>
      <c r="P22">
        <v>0</v>
      </c>
      <c r="Q22" t="s">
        <v>64</v>
      </c>
      <c r="R22">
        <v>10130</v>
      </c>
      <c r="S22">
        <v>782</v>
      </c>
      <c r="T22" t="s">
        <v>70</v>
      </c>
    </row>
    <row r="23" spans="1:20" x14ac:dyDescent="0.25">
      <c r="A23">
        <v>22</v>
      </c>
      <c r="B23" t="s">
        <v>62</v>
      </c>
      <c r="C23" t="s">
        <v>27</v>
      </c>
      <c r="D23">
        <v>2</v>
      </c>
      <c r="E23" t="s">
        <v>71</v>
      </c>
      <c r="F23" t="s">
        <v>23</v>
      </c>
      <c r="G23" t="s">
        <v>47</v>
      </c>
      <c r="H23">
        <v>1</v>
      </c>
      <c r="I23">
        <v>55</v>
      </c>
      <c r="J23">
        <v>55</v>
      </c>
      <c r="K23">
        <v>1</v>
      </c>
      <c r="L23">
        <v>54</v>
      </c>
      <c r="M23">
        <v>0</v>
      </c>
      <c r="N23">
        <v>0</v>
      </c>
      <c r="O23">
        <v>0</v>
      </c>
      <c r="P23">
        <v>0</v>
      </c>
      <c r="Q23" t="s">
        <v>67</v>
      </c>
      <c r="R23">
        <v>10175</v>
      </c>
      <c r="S23">
        <v>188</v>
      </c>
      <c r="T23" t="s">
        <v>72</v>
      </c>
    </row>
    <row r="24" spans="1:20" x14ac:dyDescent="0.25">
      <c r="A24">
        <v>23</v>
      </c>
      <c r="B24" t="s">
        <v>62</v>
      </c>
      <c r="C24" t="s">
        <v>21</v>
      </c>
      <c r="D24">
        <v>3</v>
      </c>
      <c r="E24" t="s">
        <v>73</v>
      </c>
      <c r="F24" t="s">
        <v>23</v>
      </c>
      <c r="G24" t="s">
        <v>47</v>
      </c>
      <c r="H24">
        <v>1</v>
      </c>
      <c r="I24">
        <v>55</v>
      </c>
      <c r="J24">
        <v>12</v>
      </c>
      <c r="K24">
        <v>1</v>
      </c>
      <c r="L24">
        <v>11</v>
      </c>
      <c r="M24">
        <v>0</v>
      </c>
      <c r="N24">
        <v>0</v>
      </c>
      <c r="O24">
        <v>0</v>
      </c>
      <c r="P24">
        <v>0</v>
      </c>
      <c r="Q24" t="s">
        <v>64</v>
      </c>
      <c r="R24">
        <v>10163</v>
      </c>
      <c r="S24">
        <v>1</v>
      </c>
      <c r="T24" t="s">
        <v>74</v>
      </c>
    </row>
    <row r="25" spans="1:20" x14ac:dyDescent="0.25">
      <c r="A25">
        <v>24</v>
      </c>
      <c r="B25" t="s">
        <v>62</v>
      </c>
      <c r="C25" t="s">
        <v>27</v>
      </c>
      <c r="D25">
        <v>3</v>
      </c>
      <c r="E25" t="s">
        <v>75</v>
      </c>
      <c r="F25" t="s">
        <v>23</v>
      </c>
      <c r="G25" t="s">
        <v>47</v>
      </c>
      <c r="H25">
        <v>1</v>
      </c>
      <c r="I25">
        <v>55</v>
      </c>
      <c r="J25">
        <v>55</v>
      </c>
      <c r="K25">
        <v>1</v>
      </c>
      <c r="L25">
        <v>54</v>
      </c>
      <c r="M25">
        <v>0</v>
      </c>
      <c r="N25">
        <v>0</v>
      </c>
      <c r="O25">
        <v>0</v>
      </c>
      <c r="P25">
        <v>0</v>
      </c>
      <c r="Q25" t="s">
        <v>67</v>
      </c>
      <c r="R25">
        <v>10173</v>
      </c>
      <c r="S25">
        <v>1</v>
      </c>
      <c r="T25" t="s">
        <v>76</v>
      </c>
    </row>
    <row r="26" spans="1:20" x14ac:dyDescent="0.25">
      <c r="A26">
        <v>25</v>
      </c>
      <c r="B26" t="s">
        <v>77</v>
      </c>
      <c r="C26" t="s">
        <v>21</v>
      </c>
      <c r="D26">
        <v>1</v>
      </c>
      <c r="E26" t="s">
        <v>78</v>
      </c>
      <c r="F26" t="s">
        <v>23</v>
      </c>
      <c r="G26" t="s">
        <v>79</v>
      </c>
      <c r="H26">
        <v>1</v>
      </c>
      <c r="I26">
        <v>55</v>
      </c>
      <c r="J26">
        <v>10</v>
      </c>
      <c r="K26">
        <v>1</v>
      </c>
      <c r="L26">
        <v>9</v>
      </c>
      <c r="M26">
        <v>0</v>
      </c>
      <c r="N26">
        <v>0</v>
      </c>
      <c r="O26">
        <v>0</v>
      </c>
      <c r="P26">
        <v>0</v>
      </c>
      <c r="Q26" t="s">
        <v>80</v>
      </c>
      <c r="R26">
        <v>10203</v>
      </c>
      <c r="S26">
        <v>197</v>
      </c>
      <c r="T26" t="s">
        <v>81</v>
      </c>
    </row>
    <row r="27" spans="1:20" x14ac:dyDescent="0.25">
      <c r="A27">
        <v>26</v>
      </c>
      <c r="B27" t="s">
        <v>77</v>
      </c>
      <c r="C27" t="s">
        <v>27</v>
      </c>
      <c r="D27">
        <v>1</v>
      </c>
      <c r="E27" t="s">
        <v>82</v>
      </c>
      <c r="F27" t="s">
        <v>23</v>
      </c>
      <c r="G27" t="s">
        <v>79</v>
      </c>
      <c r="H27">
        <v>1</v>
      </c>
      <c r="I27">
        <v>55</v>
      </c>
      <c r="J27">
        <v>50</v>
      </c>
      <c r="K27">
        <v>1</v>
      </c>
      <c r="L27">
        <v>49</v>
      </c>
      <c r="M27">
        <v>0</v>
      </c>
      <c r="N27">
        <v>0</v>
      </c>
      <c r="O27">
        <v>0</v>
      </c>
      <c r="P27">
        <v>0</v>
      </c>
      <c r="Q27" t="s">
        <v>83</v>
      </c>
      <c r="R27">
        <v>10133</v>
      </c>
      <c r="S27">
        <v>133</v>
      </c>
      <c r="T27" t="s">
        <v>84</v>
      </c>
    </row>
    <row r="28" spans="1:20" x14ac:dyDescent="0.25">
      <c r="A28">
        <v>27</v>
      </c>
      <c r="B28" t="s">
        <v>77</v>
      </c>
      <c r="C28" t="s">
        <v>21</v>
      </c>
      <c r="D28">
        <v>2</v>
      </c>
      <c r="E28" t="s">
        <v>85</v>
      </c>
      <c r="F28" t="s">
        <v>23</v>
      </c>
      <c r="G28" t="s">
        <v>79</v>
      </c>
      <c r="H28">
        <v>1</v>
      </c>
      <c r="I28">
        <v>55</v>
      </c>
      <c r="J28">
        <v>10</v>
      </c>
      <c r="K28">
        <v>1</v>
      </c>
      <c r="L28">
        <v>9</v>
      </c>
      <c r="M28">
        <v>0</v>
      </c>
      <c r="N28">
        <v>0</v>
      </c>
      <c r="O28">
        <v>0</v>
      </c>
      <c r="P28">
        <v>0</v>
      </c>
      <c r="Q28" t="s">
        <v>80</v>
      </c>
      <c r="R28">
        <v>10121</v>
      </c>
      <c r="S28">
        <v>121</v>
      </c>
      <c r="T28" t="s">
        <v>81</v>
      </c>
    </row>
    <row r="29" spans="1:20" x14ac:dyDescent="0.25">
      <c r="A29">
        <v>28</v>
      </c>
      <c r="B29" t="s">
        <v>77</v>
      </c>
      <c r="C29" t="s">
        <v>27</v>
      </c>
      <c r="D29">
        <v>2</v>
      </c>
      <c r="E29" t="s">
        <v>86</v>
      </c>
      <c r="F29" t="s">
        <v>23</v>
      </c>
      <c r="G29" t="s">
        <v>79</v>
      </c>
      <c r="H29">
        <v>1</v>
      </c>
      <c r="I29">
        <v>55</v>
      </c>
      <c r="J29">
        <v>49</v>
      </c>
      <c r="K29">
        <v>1</v>
      </c>
      <c r="L29">
        <v>48</v>
      </c>
      <c r="M29">
        <v>0</v>
      </c>
      <c r="N29">
        <v>0</v>
      </c>
      <c r="O29">
        <v>0</v>
      </c>
      <c r="P29">
        <v>0</v>
      </c>
      <c r="Q29" t="s">
        <v>83</v>
      </c>
      <c r="R29">
        <v>10139</v>
      </c>
      <c r="S29">
        <v>139</v>
      </c>
      <c r="T29" t="s">
        <v>87</v>
      </c>
    </row>
    <row r="30" spans="1:20" x14ac:dyDescent="0.25">
      <c r="A30">
        <v>29</v>
      </c>
      <c r="B30" t="s">
        <v>77</v>
      </c>
      <c r="C30" t="s">
        <v>21</v>
      </c>
      <c r="D30">
        <v>3</v>
      </c>
      <c r="E30" t="s">
        <v>88</v>
      </c>
      <c r="F30" t="s">
        <v>23</v>
      </c>
      <c r="G30" t="s">
        <v>79</v>
      </c>
      <c r="H30">
        <v>1</v>
      </c>
      <c r="I30">
        <v>55</v>
      </c>
      <c r="J30">
        <v>10</v>
      </c>
      <c r="K30">
        <v>1</v>
      </c>
      <c r="L30">
        <v>9</v>
      </c>
      <c r="M30">
        <v>0</v>
      </c>
      <c r="N30">
        <v>0</v>
      </c>
      <c r="O30">
        <v>0</v>
      </c>
      <c r="P30">
        <v>0</v>
      </c>
      <c r="Q30" t="s">
        <v>80</v>
      </c>
      <c r="R30">
        <v>10132</v>
      </c>
      <c r="S30">
        <v>132</v>
      </c>
      <c r="T30" t="s">
        <v>81</v>
      </c>
    </row>
    <row r="31" spans="1:20" x14ac:dyDescent="0.25">
      <c r="A31">
        <v>30</v>
      </c>
      <c r="B31" t="s">
        <v>77</v>
      </c>
      <c r="C31" t="s">
        <v>27</v>
      </c>
      <c r="D31">
        <v>3</v>
      </c>
      <c r="E31" t="s">
        <v>89</v>
      </c>
      <c r="F31" t="s">
        <v>23</v>
      </c>
      <c r="G31" t="s">
        <v>79</v>
      </c>
      <c r="H31">
        <v>1</v>
      </c>
      <c r="I31">
        <v>55</v>
      </c>
      <c r="J31">
        <v>49</v>
      </c>
      <c r="K31">
        <v>1</v>
      </c>
      <c r="L31">
        <v>48</v>
      </c>
      <c r="M31">
        <v>0</v>
      </c>
      <c r="N31">
        <v>0</v>
      </c>
      <c r="O31">
        <v>0</v>
      </c>
      <c r="P31">
        <v>0</v>
      </c>
      <c r="Q31" t="s">
        <v>83</v>
      </c>
      <c r="R31">
        <v>10139</v>
      </c>
      <c r="S31">
        <v>139</v>
      </c>
      <c r="T3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opLeftCell="C1" zoomScale="220" zoomScaleNormal="220" workbookViewId="0">
      <selection activeCell="L14" sqref="L14"/>
    </sheetView>
  </sheetViews>
  <sheetFormatPr defaultRowHeight="15" x14ac:dyDescent="0.25"/>
  <cols>
    <col min="1" max="1" width="13.140625" customWidth="1"/>
    <col min="2" max="2" width="20" customWidth="1"/>
    <col min="3" max="3" width="14.28515625" customWidth="1"/>
  </cols>
  <sheetData>
    <row r="1" spans="1:2" x14ac:dyDescent="0.25">
      <c r="A1" s="2" t="s">
        <v>90</v>
      </c>
      <c r="B1" t="s">
        <v>92</v>
      </c>
    </row>
    <row r="2" spans="1:2" x14ac:dyDescent="0.25">
      <c r="A2" s="3" t="s">
        <v>20</v>
      </c>
      <c r="B2" s="5">
        <v>18.333333333333332</v>
      </c>
    </row>
    <row r="3" spans="1:2" x14ac:dyDescent="0.25">
      <c r="A3" s="4" t="s">
        <v>27</v>
      </c>
      <c r="B3" s="5">
        <v>5.666666666666667</v>
      </c>
    </row>
    <row r="4" spans="1:2" x14ac:dyDescent="0.25">
      <c r="A4" s="4" t="s">
        <v>21</v>
      </c>
      <c r="B4" s="5">
        <v>31</v>
      </c>
    </row>
    <row r="5" spans="1:2" x14ac:dyDescent="0.25">
      <c r="A5" s="3" t="s">
        <v>35</v>
      </c>
      <c r="B5" s="5">
        <v>3.5</v>
      </c>
    </row>
    <row r="6" spans="1:2" x14ac:dyDescent="0.25">
      <c r="A6" s="4" t="s">
        <v>27</v>
      </c>
      <c r="B6" s="5">
        <v>5</v>
      </c>
    </row>
    <row r="7" spans="1:2" x14ac:dyDescent="0.25">
      <c r="A7" s="4" t="s">
        <v>21</v>
      </c>
      <c r="B7" s="5">
        <v>2</v>
      </c>
    </row>
    <row r="8" spans="1:2" x14ac:dyDescent="0.25">
      <c r="A8" s="3" t="s">
        <v>45</v>
      </c>
      <c r="B8" s="5">
        <v>10.833333333333334</v>
      </c>
    </row>
    <row r="9" spans="1:2" x14ac:dyDescent="0.25">
      <c r="A9" s="4" t="s">
        <v>27</v>
      </c>
      <c r="B9" s="5">
        <v>9.6666666666666661</v>
      </c>
    </row>
    <row r="10" spans="1:2" x14ac:dyDescent="0.25">
      <c r="A10" s="4" t="s">
        <v>21</v>
      </c>
      <c r="B10" s="5">
        <v>12</v>
      </c>
    </row>
    <row r="11" spans="1:2" x14ac:dyDescent="0.25">
      <c r="A11" s="3" t="s">
        <v>62</v>
      </c>
      <c r="B11" s="5">
        <v>33.5</v>
      </c>
    </row>
    <row r="12" spans="1:2" x14ac:dyDescent="0.25">
      <c r="A12" s="4" t="s">
        <v>27</v>
      </c>
      <c r="B12" s="5">
        <v>55</v>
      </c>
    </row>
    <row r="13" spans="1:2" x14ac:dyDescent="0.25">
      <c r="A13" s="4" t="s">
        <v>21</v>
      </c>
      <c r="B13" s="5">
        <v>12</v>
      </c>
    </row>
    <row r="14" spans="1:2" x14ac:dyDescent="0.25">
      <c r="A14" s="3" t="s">
        <v>77</v>
      </c>
      <c r="B14" s="5">
        <v>29.666666666666668</v>
      </c>
    </row>
    <row r="15" spans="1:2" x14ac:dyDescent="0.25">
      <c r="A15" s="4" t="s">
        <v>27</v>
      </c>
      <c r="B15" s="5">
        <v>49.333333333333336</v>
      </c>
    </row>
    <row r="16" spans="1:2" x14ac:dyDescent="0.25">
      <c r="A16" s="4" t="s">
        <v>21</v>
      </c>
      <c r="B16" s="5">
        <v>10</v>
      </c>
    </row>
    <row r="17" spans="1:2" x14ac:dyDescent="0.25">
      <c r="A17" s="3" t="s">
        <v>91</v>
      </c>
      <c r="B17" s="5">
        <v>19.166666666666668</v>
      </c>
    </row>
    <row r="20" spans="1:2" x14ac:dyDescent="0.25">
      <c r="A20" s="2" t="s">
        <v>90</v>
      </c>
      <c r="B20" t="s">
        <v>93</v>
      </c>
    </row>
    <row r="21" spans="1:2" x14ac:dyDescent="0.25">
      <c r="A21" s="3" t="s">
        <v>20</v>
      </c>
      <c r="B21" s="5">
        <v>1394</v>
      </c>
    </row>
    <row r="22" spans="1:2" x14ac:dyDescent="0.25">
      <c r="A22" s="4" t="s">
        <v>27</v>
      </c>
      <c r="B22" s="5">
        <v>44</v>
      </c>
    </row>
    <row r="23" spans="1:2" x14ac:dyDescent="0.25">
      <c r="A23" s="4" t="s">
        <v>21</v>
      </c>
      <c r="B23" s="5">
        <v>1350</v>
      </c>
    </row>
    <row r="24" spans="1:2" x14ac:dyDescent="0.25">
      <c r="A24" s="3" t="s">
        <v>35</v>
      </c>
      <c r="B24" s="5">
        <v>2654</v>
      </c>
    </row>
    <row r="25" spans="1:2" x14ac:dyDescent="0.25">
      <c r="A25" s="4" t="s">
        <v>27</v>
      </c>
      <c r="B25" s="5">
        <v>41</v>
      </c>
    </row>
    <row r="26" spans="1:2" x14ac:dyDescent="0.25">
      <c r="A26" s="4" t="s">
        <v>21</v>
      </c>
      <c r="B26" s="5">
        <v>2613</v>
      </c>
    </row>
    <row r="27" spans="1:2" x14ac:dyDescent="0.25">
      <c r="A27" s="3" t="s">
        <v>45</v>
      </c>
      <c r="B27" s="5">
        <v>2005</v>
      </c>
    </row>
    <row r="28" spans="1:2" x14ac:dyDescent="0.25">
      <c r="A28" s="4" t="s">
        <v>27</v>
      </c>
      <c r="B28" s="5">
        <v>44</v>
      </c>
    </row>
    <row r="29" spans="1:2" x14ac:dyDescent="0.25">
      <c r="A29" s="4" t="s">
        <v>21</v>
      </c>
      <c r="B29" s="5">
        <v>1961</v>
      </c>
    </row>
    <row r="30" spans="1:2" x14ac:dyDescent="0.25">
      <c r="A30" s="3" t="s">
        <v>62</v>
      </c>
      <c r="B30" s="5">
        <v>1484</v>
      </c>
    </row>
    <row r="31" spans="1:2" x14ac:dyDescent="0.25">
      <c r="A31" s="4" t="s">
        <v>27</v>
      </c>
      <c r="B31" s="5">
        <v>430</v>
      </c>
    </row>
    <row r="32" spans="1:2" x14ac:dyDescent="0.25">
      <c r="A32" s="4" t="s">
        <v>21</v>
      </c>
      <c r="B32" s="5">
        <v>1054</v>
      </c>
    </row>
    <row r="33" spans="1:2" x14ac:dyDescent="0.25">
      <c r="A33" s="3" t="s">
        <v>77</v>
      </c>
      <c r="B33" s="5">
        <v>861</v>
      </c>
    </row>
    <row r="34" spans="1:2" x14ac:dyDescent="0.25">
      <c r="A34" s="4" t="s">
        <v>27</v>
      </c>
      <c r="B34" s="5">
        <v>411</v>
      </c>
    </row>
    <row r="35" spans="1:2" x14ac:dyDescent="0.25">
      <c r="A35" s="4" t="s">
        <v>21</v>
      </c>
      <c r="B35" s="5">
        <v>450</v>
      </c>
    </row>
    <row r="36" spans="1:2" x14ac:dyDescent="0.25">
      <c r="A36" s="3" t="s">
        <v>91</v>
      </c>
      <c r="B36" s="5">
        <v>8398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topLeftCell="C4" zoomScale="200" zoomScaleNormal="200" workbookViewId="0">
      <selection activeCell="H21" sqref="H21"/>
    </sheetView>
  </sheetViews>
  <sheetFormatPr defaultRowHeight="15" x14ac:dyDescent="0.25"/>
  <cols>
    <col min="1" max="2" width="29.5703125" customWidth="1"/>
    <col min="3" max="3" width="28.85546875" customWidth="1"/>
    <col min="4" max="4" width="23.5703125" customWidth="1"/>
    <col min="5" max="5" width="23.140625" customWidth="1"/>
    <col min="8" max="8" width="18.42578125" customWidth="1"/>
    <col min="9" max="9" width="16.85546875" customWidth="1"/>
    <col min="10" max="10" width="17.85546875" customWidth="1"/>
    <col min="11" max="11" width="23.85546875" customWidth="1"/>
    <col min="12" max="12" width="20.85546875" customWidth="1"/>
  </cols>
  <sheetData>
    <row r="1" spans="1:12" x14ac:dyDescent="0.25">
      <c r="A1" t="s">
        <v>94</v>
      </c>
      <c r="B1" t="s">
        <v>102</v>
      </c>
      <c r="C1" t="s">
        <v>101</v>
      </c>
      <c r="D1" t="s">
        <v>95</v>
      </c>
      <c r="E1" t="s">
        <v>96</v>
      </c>
      <c r="H1" t="s">
        <v>94</v>
      </c>
      <c r="I1" t="s">
        <v>102</v>
      </c>
      <c r="J1" t="s">
        <v>101</v>
      </c>
      <c r="K1" t="s">
        <v>95</v>
      </c>
      <c r="L1" t="s">
        <v>96</v>
      </c>
    </row>
    <row r="2" spans="1:12" x14ac:dyDescent="0.25">
      <c r="A2" t="s">
        <v>98</v>
      </c>
      <c r="B2">
        <v>0.2</v>
      </c>
      <c r="C2">
        <v>3</v>
      </c>
      <c r="D2">
        <v>2</v>
      </c>
      <c r="E2">
        <v>5</v>
      </c>
      <c r="H2" t="s">
        <v>97</v>
      </c>
      <c r="I2">
        <v>30</v>
      </c>
      <c r="J2">
        <v>0</v>
      </c>
      <c r="K2">
        <v>31</v>
      </c>
      <c r="L2">
        <v>2</v>
      </c>
    </row>
    <row r="3" spans="1:12" x14ac:dyDescent="0.25">
      <c r="A3" t="s">
        <v>99</v>
      </c>
      <c r="B3">
        <v>10</v>
      </c>
      <c r="C3">
        <v>5</v>
      </c>
      <c r="D3">
        <v>12</v>
      </c>
      <c r="E3">
        <v>10</v>
      </c>
      <c r="H3" t="s">
        <v>98</v>
      </c>
      <c r="I3">
        <v>0.2</v>
      </c>
      <c r="J3">
        <v>3</v>
      </c>
      <c r="K3">
        <v>2</v>
      </c>
      <c r="L3">
        <v>5</v>
      </c>
    </row>
    <row r="4" spans="1:12" x14ac:dyDescent="0.25">
      <c r="A4" t="s">
        <v>100</v>
      </c>
      <c r="B4">
        <v>10</v>
      </c>
      <c r="C4">
        <v>50</v>
      </c>
      <c r="D4">
        <v>12</v>
      </c>
      <c r="E4">
        <v>55</v>
      </c>
      <c r="H4" t="s">
        <v>99</v>
      </c>
      <c r="I4">
        <v>10</v>
      </c>
      <c r="J4">
        <v>5</v>
      </c>
      <c r="K4">
        <v>12</v>
      </c>
      <c r="L4">
        <v>10</v>
      </c>
    </row>
    <row r="5" spans="1:12" x14ac:dyDescent="0.25">
      <c r="A5" t="s">
        <v>97</v>
      </c>
      <c r="B5">
        <v>30</v>
      </c>
      <c r="C5">
        <v>0</v>
      </c>
      <c r="D5">
        <v>31</v>
      </c>
      <c r="E5">
        <v>2</v>
      </c>
      <c r="H5" t="s">
        <v>100</v>
      </c>
      <c r="I5">
        <v>10</v>
      </c>
      <c r="J5">
        <v>50</v>
      </c>
      <c r="K5">
        <v>12</v>
      </c>
      <c r="L5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request_detection_charts</vt:lpstr>
      <vt:lpstr>duration_charts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Asael Tobar</dc:creator>
  <cp:lastModifiedBy>Asael Tobar</cp:lastModifiedBy>
  <dcterms:created xsi:type="dcterms:W3CDTF">2026-10-27T01:26:00Z</dcterms:created>
  <dcterms:modified xsi:type="dcterms:W3CDTF">2026-10-28T07:11:45Z</dcterms:modified>
</cp:coreProperties>
</file>